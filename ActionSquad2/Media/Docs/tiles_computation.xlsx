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18" i="1" l="1"/>
  <c r="C16" i="1"/>
  <c r="E16" i="1" s="1"/>
  <c r="C13" i="1"/>
  <c r="D13" i="1" s="1"/>
  <c r="C15" i="1"/>
  <c r="D15" i="1" s="1"/>
  <c r="C14" i="1"/>
  <c r="D14" i="1" s="1"/>
  <c r="C12" i="1"/>
  <c r="D12" i="1" s="1"/>
  <c r="C11" i="1"/>
  <c r="D11" i="1" s="1"/>
  <c r="C10" i="1"/>
  <c r="E10" i="1" s="1"/>
  <c r="C9" i="1"/>
  <c r="E9" i="1" s="1"/>
  <c r="C8" i="1"/>
  <c r="E8" i="1" s="1"/>
  <c r="C7" i="1"/>
  <c r="E7" i="1" s="1"/>
  <c r="C6" i="1"/>
  <c r="E6" i="1" s="1"/>
  <c r="C5" i="1"/>
  <c r="E5" i="1" s="1"/>
  <c r="C4" i="1"/>
  <c r="E4" i="1" s="1"/>
  <c r="C3" i="1"/>
  <c r="E3" i="1" s="1"/>
  <c r="C2" i="1"/>
  <c r="D2" i="1" s="1"/>
  <c r="D16" i="1" l="1"/>
  <c r="F16" i="1" s="1"/>
  <c r="E14" i="1"/>
  <c r="F14" i="1" s="1"/>
  <c r="E12" i="1"/>
  <c r="F12" i="1" s="1"/>
  <c r="E2" i="1"/>
  <c r="E13" i="1"/>
  <c r="F13" i="1" s="1"/>
  <c r="E15" i="1"/>
  <c r="F15" i="1" s="1"/>
  <c r="E11" i="1"/>
  <c r="F11" i="1" s="1"/>
  <c r="D10" i="1"/>
  <c r="F10" i="1" s="1"/>
  <c r="D9" i="1"/>
  <c r="F9" i="1" s="1"/>
  <c r="D8" i="1"/>
  <c r="F8" i="1" s="1"/>
  <c r="D7" i="1"/>
  <c r="F7" i="1" s="1"/>
  <c r="D6" i="1"/>
  <c r="F6" i="1" s="1"/>
  <c r="D5" i="1"/>
  <c r="F5" i="1" s="1"/>
  <c r="D4" i="1"/>
  <c r="F4" i="1" s="1"/>
  <c r="D3" i="1"/>
  <c r="F3" i="1" s="1"/>
  <c r="F2" i="1" l="1"/>
  <c r="E18" i="1"/>
</calcChain>
</file>

<file path=xl/sharedStrings.xml><?xml version="1.0" encoding="utf-8"?>
<sst xmlns="http://schemas.openxmlformats.org/spreadsheetml/2006/main" count="10" uniqueCount="10">
  <si>
    <t>W</t>
  </si>
  <si>
    <t>H</t>
  </si>
  <si>
    <t>px size</t>
  </si>
  <si>
    <t>WTL</t>
  </si>
  <si>
    <t>HTL</t>
  </si>
  <si>
    <t>TOTAL tiles</t>
  </si>
  <si>
    <t>TILE SIZE</t>
  </si>
  <si>
    <t xml:space="preserve">Vertical Tiles on screen </t>
  </si>
  <si>
    <t>variation</t>
  </si>
  <si>
    <t>optim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</si>
</sst>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3" fillId="4" borderId="0" xfId="3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E13" sqref="E13"/>
    </sheetView>
  </sheetViews>
  <sheetFormatPr defaultRowHeight="15" x14ac:dyDescent="0.25"/>
  <cols>
    <col min="6" max="6" width="11.5703125" customWidth="1"/>
    <col min="8" max="8" width="24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>
        <v>16</v>
      </c>
    </row>
    <row r="2" spans="1:10" x14ac:dyDescent="0.25">
      <c r="A2">
        <v>1920</v>
      </c>
      <c r="B2">
        <v>1080</v>
      </c>
      <c r="C2">
        <f>ROUND(FLOOR(B2/I2, 1) / I1, 0)</f>
        <v>5</v>
      </c>
      <c r="D2">
        <f>ROUNDUP(A2/(16 *C2),0)</f>
        <v>24</v>
      </c>
      <c r="E2">
        <f>ROUNDUP(B2/(C2*16), 0)</f>
        <v>14</v>
      </c>
      <c r="F2">
        <f>D2*E2</f>
        <v>336</v>
      </c>
      <c r="H2" s="2" t="s">
        <v>7</v>
      </c>
      <c r="I2">
        <v>14</v>
      </c>
      <c r="J2" s="2" t="s">
        <v>9</v>
      </c>
    </row>
    <row r="3" spans="1:10" x14ac:dyDescent="0.25">
      <c r="A3">
        <v>1680</v>
      </c>
      <c r="B3">
        <v>1050</v>
      </c>
      <c r="C3">
        <f>ROUND(FLOOR(B3/I2, 1) / I1, 0)</f>
        <v>5</v>
      </c>
      <c r="D3">
        <f>ROUNDUP(A3/(16 *C3),0)</f>
        <v>21</v>
      </c>
      <c r="E3">
        <f>ROUNDUP(B3/(C3*16), 0)</f>
        <v>14</v>
      </c>
      <c r="F3">
        <f t="shared" ref="F3:F15" si="0">D3*E3</f>
        <v>294</v>
      </c>
    </row>
    <row r="4" spans="1:10" x14ac:dyDescent="0.25">
      <c r="A4">
        <v>1600</v>
      </c>
      <c r="B4">
        <v>1024</v>
      </c>
      <c r="C4">
        <f>ROUND(FLOOR(B4/I2, 1) / I1, 0)</f>
        <v>5</v>
      </c>
      <c r="D4">
        <f>ROUNDUP(A4/(16 *C4),0)</f>
        <v>20</v>
      </c>
      <c r="E4">
        <f>ROUNDUP(B4/(C4*16), 0)</f>
        <v>13</v>
      </c>
      <c r="F4">
        <f t="shared" si="0"/>
        <v>260</v>
      </c>
    </row>
    <row r="5" spans="1:10" x14ac:dyDescent="0.25">
      <c r="A5">
        <v>1600</v>
      </c>
      <c r="B5">
        <v>900</v>
      </c>
      <c r="C5">
        <f>ROUND(FLOOR(B5/I2, 1) / I1, 0)</f>
        <v>4</v>
      </c>
      <c r="D5">
        <f>ROUNDUP(A5/(16 *C5),0)</f>
        <v>25</v>
      </c>
      <c r="E5">
        <f>ROUNDUP(B5/(C5*16), 0)</f>
        <v>15</v>
      </c>
      <c r="F5">
        <f t="shared" si="0"/>
        <v>375</v>
      </c>
    </row>
    <row r="6" spans="1:10" x14ac:dyDescent="0.25">
      <c r="A6">
        <v>1440</v>
      </c>
      <c r="B6">
        <v>900</v>
      </c>
      <c r="C6">
        <f>ROUND(FLOOR(B6/I2, 1) / I1, 0)</f>
        <v>4</v>
      </c>
      <c r="D6">
        <f>ROUNDUP(A6/(16 *C6),0)</f>
        <v>23</v>
      </c>
      <c r="E6">
        <f>ROUNDUP(B6/(C6*16), 0)</f>
        <v>15</v>
      </c>
      <c r="F6">
        <f t="shared" si="0"/>
        <v>345</v>
      </c>
    </row>
    <row r="7" spans="1:10" x14ac:dyDescent="0.25">
      <c r="A7">
        <v>1366</v>
      </c>
      <c r="B7">
        <v>768</v>
      </c>
      <c r="C7">
        <f>ROUND(FLOOR(B7/I2, 1) / I1, 0)</f>
        <v>3</v>
      </c>
      <c r="D7">
        <f>ROUNDUP(A7/(16 *C7),0)</f>
        <v>29</v>
      </c>
      <c r="E7">
        <f>ROUNDUP(B7/(C7*16), 0)</f>
        <v>16</v>
      </c>
      <c r="F7">
        <f t="shared" si="0"/>
        <v>464</v>
      </c>
    </row>
    <row r="8" spans="1:10" x14ac:dyDescent="0.25">
      <c r="A8">
        <v>1024</v>
      </c>
      <c r="B8">
        <v>768</v>
      </c>
      <c r="C8">
        <f>ROUND(FLOOR(B8/I2, 1) / I1, 0)</f>
        <v>3</v>
      </c>
      <c r="D8">
        <f>ROUNDUP(A8/(16 *C8),0)</f>
        <v>22</v>
      </c>
      <c r="E8">
        <f>ROUNDUP(B8/(C8*16), 0)</f>
        <v>16</v>
      </c>
      <c r="F8">
        <f t="shared" si="0"/>
        <v>352</v>
      </c>
    </row>
    <row r="9" spans="1:10" x14ac:dyDescent="0.25">
      <c r="A9">
        <v>1280</v>
      </c>
      <c r="B9">
        <v>1024</v>
      </c>
      <c r="C9">
        <f>ROUND(FLOOR(B9/I2, 1) / I1, 0)</f>
        <v>5</v>
      </c>
      <c r="D9">
        <f>ROUNDUP(A9/(16 *C9),0)</f>
        <v>16</v>
      </c>
      <c r="E9">
        <f>ROUNDUP(B9/(C9*16), 0)</f>
        <v>13</v>
      </c>
      <c r="F9">
        <f t="shared" si="0"/>
        <v>208</v>
      </c>
    </row>
    <row r="10" spans="1:10" x14ac:dyDescent="0.25">
      <c r="A10">
        <v>1280</v>
      </c>
      <c r="B10">
        <v>960</v>
      </c>
      <c r="C10">
        <f>ROUND(FLOOR(B10/I2, 1) / I1, 0)</f>
        <v>4</v>
      </c>
      <c r="D10">
        <f>ROUNDUP(A10/(16 *C10),0)</f>
        <v>20</v>
      </c>
      <c r="E10">
        <f>ROUNDUP(B10/(C10*16), 0)</f>
        <v>15</v>
      </c>
      <c r="F10">
        <f t="shared" si="0"/>
        <v>300</v>
      </c>
    </row>
    <row r="11" spans="1:10" x14ac:dyDescent="0.25">
      <c r="A11">
        <v>1280</v>
      </c>
      <c r="B11">
        <v>800</v>
      </c>
      <c r="C11">
        <f>ROUND(FLOOR(B11/I2, 1) / I1, 0)</f>
        <v>4</v>
      </c>
      <c r="D11">
        <f>ROUNDUP(A11/(16 *C11),0)</f>
        <v>20</v>
      </c>
      <c r="E11">
        <f>ROUNDUP(B11/(C11*16), 0)</f>
        <v>13</v>
      </c>
      <c r="F11">
        <f t="shared" si="0"/>
        <v>260</v>
      </c>
    </row>
    <row r="12" spans="1:10" x14ac:dyDescent="0.25">
      <c r="A12">
        <v>1280</v>
      </c>
      <c r="B12">
        <v>768</v>
      </c>
      <c r="C12">
        <f>ROUND(FLOOR(B12/I2, 1) / I1, 0)</f>
        <v>3</v>
      </c>
      <c r="D12">
        <f>ROUNDUP(A12/(16 *C12),0)</f>
        <v>27</v>
      </c>
      <c r="E12">
        <f>ROUNDUP(B12/(C12*16), 0)</f>
        <v>16</v>
      </c>
      <c r="F12">
        <f t="shared" si="0"/>
        <v>432</v>
      </c>
    </row>
    <row r="13" spans="1:10" x14ac:dyDescent="0.25">
      <c r="A13">
        <v>800</v>
      </c>
      <c r="B13">
        <v>600</v>
      </c>
      <c r="C13">
        <f>ROUND(FLOOR(B13/I2, 1) / I1, 0)</f>
        <v>3</v>
      </c>
      <c r="D13">
        <f>ROUNDUP(A13/(16 *C13),0)</f>
        <v>17</v>
      </c>
      <c r="E13">
        <f>ROUNDUP(B13/(C13*16), 0)</f>
        <v>13</v>
      </c>
      <c r="F13">
        <f t="shared" si="0"/>
        <v>221</v>
      </c>
    </row>
    <row r="14" spans="1:10" x14ac:dyDescent="0.25">
      <c r="A14">
        <v>1150</v>
      </c>
      <c r="B14">
        <v>864</v>
      </c>
      <c r="C14">
        <f>ROUND(FLOOR(B14/I2, 1) / I1, 0)</f>
        <v>4</v>
      </c>
      <c r="D14">
        <f>ROUNDUP(A14/(16 *C14),0)</f>
        <v>18</v>
      </c>
      <c r="E14">
        <f>ROUNDUP(B14/(C14*16), 0)</f>
        <v>14</v>
      </c>
      <c r="F14">
        <f t="shared" si="0"/>
        <v>252</v>
      </c>
    </row>
    <row r="15" spans="1:10" x14ac:dyDescent="0.25">
      <c r="A15">
        <v>640</v>
      </c>
      <c r="B15">
        <v>480</v>
      </c>
      <c r="C15">
        <f>ROUND(FLOOR(B15/I2, 1) / I1, 0)</f>
        <v>2</v>
      </c>
      <c r="D15">
        <f>ROUNDUP(A15/(16 *C15),0)</f>
        <v>20</v>
      </c>
      <c r="E15">
        <f>ROUNDUP(B15/(C15*16), 0)</f>
        <v>15</v>
      </c>
      <c r="F15">
        <f t="shared" si="0"/>
        <v>300</v>
      </c>
    </row>
    <row r="16" spans="1:10" x14ac:dyDescent="0.25">
      <c r="A16">
        <v>320</v>
      </c>
      <c r="B16">
        <v>200</v>
      </c>
      <c r="C16">
        <f>ROUND(FLOOR(B16/I2, 1) / I1, 0)</f>
        <v>1</v>
      </c>
      <c r="D16">
        <f>ROUNDUP(A16/(16 *C16),0)</f>
        <v>20</v>
      </c>
      <c r="E16">
        <f>ROUNDUP(B16/(C16*16), 0)</f>
        <v>13</v>
      </c>
      <c r="F16">
        <f t="shared" ref="F16" si="1">D16*E16</f>
        <v>260</v>
      </c>
    </row>
    <row r="18" spans="4:6" x14ac:dyDescent="0.25">
      <c r="D18" s="3" t="s">
        <v>8</v>
      </c>
      <c r="E18" s="3">
        <f>MAX(E2:E16) - MIN(E2:E16)</f>
        <v>3</v>
      </c>
      <c r="F18" s="3">
        <f>MAX(F2:F16) - MIN(F2:F16)</f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 Dragomir</dc:creator>
  <cp:lastModifiedBy>Mihai Dragomir</cp:lastModifiedBy>
  <dcterms:created xsi:type="dcterms:W3CDTF">2014-04-01T14:39:37Z</dcterms:created>
  <dcterms:modified xsi:type="dcterms:W3CDTF">2014-04-01T15:07:08Z</dcterms:modified>
</cp:coreProperties>
</file>